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Geral" sheetId="1" state="visible" r:id="rId1"/>
    <sheet xmlns:r="http://schemas.openxmlformats.org/officeDocument/2006/relationships" name="Produtos" sheetId="2" state="visible" r:id="rId2"/>
    <sheet xmlns:r="http://schemas.openxmlformats.org/officeDocument/2006/relationships" name="Operações por TO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0" borderId="1" pivotButton="0" quotePrefix="0" xfId="0"/>
    <xf numFmtId="3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5" fillId="0" borderId="1" pivotButton="0" quotePrefix="0" xfId="0"/>
    <xf numFmtId="3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3" fontId="5" fillId="3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0" fontId="4" fillId="4" borderId="2" pivotButton="0" quotePrefix="0" xfId="0"/>
    <xf numFmtId="0" fontId="4" fillId="4" borderId="2" applyAlignment="1" pivotButton="0" quotePrefix="0" xfId="0">
      <alignment horizontal="right"/>
    </xf>
    <xf numFmtId="3" fontId="4" fillId="4" borderId="2" pivotButton="0" quotePrefix="0" xfId="0"/>
    <xf numFmtId="164" fontId="4" fillId="4" borderId="2" pivotButton="0" quotePrefix="0" xfId="0"/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74" customWidth="1" min="1" max="1"/>
    <col width="32" customWidth="1" min="2" max="2"/>
    <col width="15" customWidth="1" min="3" max="3"/>
    <col width="17" customWidth="1" min="4" max="4"/>
    <col width="15" customWidth="1" min="5" max="5"/>
    <col width="25" customWidth="1" min="6" max="6"/>
  </cols>
  <sheetData>
    <row r="1">
      <c r="A1" s="1" t="inlineStr">
        <is>
          <t>RELATÓRIO DE VENDAS E DEVOLUÇÕES — MARCA BD AAD</t>
        </is>
      </c>
    </row>
    <row r="2">
      <c r="A2" s="2" t="inlineStr">
        <is>
          <t>Fonte: Banco de Produção ERP Sankhya | Período: 01/10/2025 a 06/10/2026</t>
        </is>
      </c>
    </row>
    <row r="3"/>
    <row r="4">
      <c r="A4" s="3" t="inlineStr">
        <is>
          <t>Classificação do Movimento</t>
        </is>
      </c>
      <c r="B4" s="3" t="inlineStr">
        <is>
          <t>TOPs Utilizadas</t>
        </is>
      </c>
      <c r="C4" s="4" t="inlineStr">
        <is>
          <t>Qtd. Vendida</t>
        </is>
      </c>
      <c r="D4" s="4" t="inlineStr">
        <is>
          <t>Qtd. Devolvida</t>
        </is>
      </c>
      <c r="E4" s="4" t="inlineStr">
        <is>
          <t>Qtd. Líquida</t>
        </is>
      </c>
      <c r="F4" s="4" t="inlineStr">
        <is>
          <t>Valor Líquido Faturado</t>
        </is>
      </c>
    </row>
    <row r="5">
      <c r="A5" s="5" t="inlineStr">
        <is>
          <t>Venda Comercial Faturada (Venda Direta + Consignado)</t>
        </is>
      </c>
      <c r="B5" s="5" t="inlineStr">
        <is>
          <t>1100, 1107 x 1200</t>
        </is>
      </c>
      <c r="C5" s="6" t="n">
        <v>22045</v>
      </c>
      <c r="D5" s="6" t="n">
        <v>158</v>
      </c>
      <c r="E5" s="6" t="n">
        <v>21887</v>
      </c>
      <c r="F5" s="7" t="n">
        <v>5686589.880000006</v>
      </c>
    </row>
    <row r="6">
      <c r="A6" s="8" t="inlineStr">
        <is>
          <t>Apenas Venda Direta NFe (Sem Consignado)</t>
        </is>
      </c>
      <c r="B6" s="8" t="inlineStr">
        <is>
          <t>1100 x 1200</t>
        </is>
      </c>
      <c r="C6" s="9" t="n">
        <v>19398</v>
      </c>
      <c r="D6" s="9" t="n">
        <v>158</v>
      </c>
      <c r="E6" s="9" t="n">
        <v>19240</v>
      </c>
      <c r="F6" s="10" t="n">
        <v>4411616.36</v>
      </c>
    </row>
    <row r="7">
      <c r="A7" s="8" t="inlineStr">
        <is>
          <t>Movimentação Física Total (Saídas vs Retornos)</t>
        </is>
      </c>
      <c r="B7" s="8" t="inlineStr">
        <is>
          <t>Todas as Saídas vs Devoluções</t>
        </is>
      </c>
      <c r="C7" s="9" t="n">
        <v>25060</v>
      </c>
      <c r="D7" s="9" t="n">
        <v>2979</v>
      </c>
      <c r="E7" s="9" t="n">
        <v>22081</v>
      </c>
      <c r="F7" s="10" t="n">
        <v>5898669.639999985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1" workbookViewId="0">
      <selection activeCell="A1" sqref="A1"/>
    </sheetView>
  </sheetViews>
  <sheetFormatPr baseColWidth="8" defaultRowHeight="15"/>
  <cols>
    <col width="83" customWidth="1" min="1" max="1"/>
    <col width="65" customWidth="1" min="2" max="2"/>
    <col width="16" customWidth="1" min="3" max="3"/>
    <col width="25" customWidth="1" min="4" max="4"/>
    <col width="17" customWidth="1" min="5" max="5"/>
    <col width="25" customWidth="1" min="6" max="6"/>
    <col width="15" customWidth="1" min="7" max="7"/>
    <col width="25" customWidth="1" min="8" max="8"/>
  </cols>
  <sheetData>
    <row r="1">
      <c r="A1" s="1" t="inlineStr">
        <is>
          <t>DETALHAMENTO PRODUTO A PRODUTO — MARCA BD AAD</t>
        </is>
      </c>
    </row>
    <row r="2">
      <c r="A2" s="2" t="inlineStr">
        <is>
          <t>Vendas Comerciais Faturadas (TOP 1100 + 1107) deduzidas as Devoluções (TOP 1200)</t>
        </is>
      </c>
    </row>
    <row r="3"/>
    <row r="4">
      <c r="A4" s="4" t="inlineStr">
        <is>
          <t>Cód. Prod.</t>
        </is>
      </c>
      <c r="B4" s="3" t="inlineStr">
        <is>
          <t>Descrição do Produto</t>
        </is>
      </c>
      <c r="C4" s="4" t="inlineStr">
        <is>
          <t>Qtd. Faturada</t>
        </is>
      </c>
      <c r="D4" s="3" t="inlineStr">
        <is>
          <t>Valor Faturado (R$)</t>
        </is>
      </c>
      <c r="E4" s="4" t="inlineStr">
        <is>
          <t>Qtd. Devolvida</t>
        </is>
      </c>
      <c r="F4" s="3" t="inlineStr">
        <is>
          <t>Valor Devolvido (R$)</t>
        </is>
      </c>
      <c r="G4" s="4" t="inlineStr">
        <is>
          <t>Qtd. Líquida</t>
        </is>
      </c>
      <c r="H4" s="3" t="inlineStr">
        <is>
          <t>Valor Líquido (R$)</t>
        </is>
      </c>
    </row>
    <row r="5">
      <c r="A5" s="11" t="n">
        <v>587</v>
      </c>
      <c r="B5" s="8" t="inlineStr">
        <is>
          <t>DISPOSITIVO DE FIXACAO EM POLIETILENO STATLOCK PICC PLUS</t>
        </is>
      </c>
      <c r="C5" s="9" t="n">
        <v>14567</v>
      </c>
      <c r="D5" s="10" t="n">
        <v>792243.9700000001</v>
      </c>
      <c r="E5" s="9" t="n">
        <v>57</v>
      </c>
      <c r="F5" s="10" t="n">
        <v>3800.83</v>
      </c>
      <c r="G5" s="9" t="n">
        <v>14510</v>
      </c>
      <c r="H5" s="10" t="n">
        <v>788443.1400000001</v>
      </c>
    </row>
    <row r="6">
      <c r="A6" s="12" t="n">
        <v>157</v>
      </c>
      <c r="B6" s="13" t="inlineStr">
        <is>
          <t>GUIA DE AGULHA SISTEMA SITE RITE 21G</t>
        </is>
      </c>
      <c r="C6" s="14" t="n">
        <v>3333</v>
      </c>
      <c r="D6" s="15" t="n">
        <v>522556.6500000008</v>
      </c>
      <c r="E6" s="14" t="n">
        <v>29</v>
      </c>
      <c r="F6" s="15" t="n">
        <v>3696.36</v>
      </c>
      <c r="G6" s="14" t="n">
        <v>3304</v>
      </c>
      <c r="H6" s="15" t="n">
        <v>518860.2900000009</v>
      </c>
    </row>
    <row r="7">
      <c r="A7" s="11" t="n">
        <v>137</v>
      </c>
      <c r="B7" s="8" t="inlineStr">
        <is>
          <t>CAT PICC C/ MICROINTRODUTOR GROSHONG NXT MONO LUMEN 4FR</t>
        </is>
      </c>
      <c r="C7" s="9" t="n">
        <v>1351</v>
      </c>
      <c r="D7" s="10" t="n">
        <v>1425686.549999999</v>
      </c>
      <c r="E7" s="9" t="n">
        <v>27</v>
      </c>
      <c r="F7" s="10" t="n">
        <v>28132.99</v>
      </c>
      <c r="G7" s="9" t="n">
        <v>1324</v>
      </c>
      <c r="H7" s="10" t="n">
        <v>1397553.559999999</v>
      </c>
    </row>
    <row r="8">
      <c r="A8" s="12" t="n">
        <v>132</v>
      </c>
      <c r="B8" s="13" t="inlineStr">
        <is>
          <t>POWER PICC 3CG  1LUMEN 4 FR</t>
        </is>
      </c>
      <c r="C8" s="14" t="n">
        <v>754</v>
      </c>
      <c r="D8" s="15" t="n">
        <v>1162706.719999999</v>
      </c>
      <c r="E8" s="14" t="n">
        <v>26</v>
      </c>
      <c r="F8" s="15" t="n">
        <v>44848.75</v>
      </c>
      <c r="G8" s="14" t="n">
        <v>728</v>
      </c>
      <c r="H8" s="15" t="n">
        <v>1117857.969999999</v>
      </c>
    </row>
    <row r="9">
      <c r="A9" s="11" t="n">
        <v>165</v>
      </c>
      <c r="B9" s="8" t="inlineStr">
        <is>
          <t>DISPOSITIVO DE FIXACAO STATLOCK NEONETAL PARA PICC E CVC</t>
        </is>
      </c>
      <c r="C9" s="9" t="n">
        <v>516</v>
      </c>
      <c r="D9" s="10" t="n">
        <v>28464.92</v>
      </c>
      <c r="E9" s="9" t="n">
        <v>0</v>
      </c>
      <c r="F9" s="10" t="n">
        <v>0</v>
      </c>
      <c r="G9" s="9" t="n">
        <v>516</v>
      </c>
      <c r="H9" s="10" t="n">
        <v>28464.92</v>
      </c>
    </row>
    <row r="10">
      <c r="A10" s="12" t="n">
        <v>134</v>
      </c>
      <c r="B10" s="13" t="inlineStr">
        <is>
          <t>POWER PICC 3CG 2 LUMEN 5 FR</t>
        </is>
      </c>
      <c r="C10" s="14" t="n">
        <v>474</v>
      </c>
      <c r="D10" s="15" t="n">
        <v>788006.0299999994</v>
      </c>
      <c r="E10" s="14" t="n">
        <v>10</v>
      </c>
      <c r="F10" s="15" t="n">
        <v>17446</v>
      </c>
      <c r="G10" s="14" t="n">
        <v>464</v>
      </c>
      <c r="H10" s="15" t="n">
        <v>770560.0299999994</v>
      </c>
    </row>
    <row r="11">
      <c r="A11" s="11" t="n">
        <v>123</v>
      </c>
      <c r="B11" s="8" t="inlineStr">
        <is>
          <t>POWER PICC 5FR DUPLO LUMEN</t>
        </is>
      </c>
      <c r="C11" s="9" t="n">
        <v>288</v>
      </c>
      <c r="D11" s="10" t="n">
        <v>391007.6199999999</v>
      </c>
      <c r="E11" s="9" t="n">
        <v>4</v>
      </c>
      <c r="F11" s="10" t="n">
        <v>4684.190000000001</v>
      </c>
      <c r="G11" s="9" t="n">
        <v>284</v>
      </c>
      <c r="H11" s="10" t="n">
        <v>386323.4299999999</v>
      </c>
    </row>
    <row r="12">
      <c r="A12" s="12" t="n">
        <v>144</v>
      </c>
      <c r="B12" s="13" t="inlineStr">
        <is>
          <t>POWER PICC SMALL VEINS - 1 LUMEN 3 FR</t>
        </is>
      </c>
      <c r="C12" s="14" t="n">
        <v>195</v>
      </c>
      <c r="D12" s="15" t="n">
        <v>326395.56</v>
      </c>
      <c r="E12" s="14" t="n">
        <v>0</v>
      </c>
      <c r="F12" s="15" t="n">
        <v>0</v>
      </c>
      <c r="G12" s="14" t="n">
        <v>195</v>
      </c>
      <c r="H12" s="15" t="n">
        <v>326395.56</v>
      </c>
    </row>
    <row r="13">
      <c r="A13" s="11" t="n">
        <v>159</v>
      </c>
      <c r="B13" s="8" t="inlineStr">
        <is>
          <t>GUIA DE AGULHA SISTEMA SITE RITE 18G</t>
        </is>
      </c>
      <c r="C13" s="9" t="n">
        <v>150</v>
      </c>
      <c r="D13" s="10" t="n">
        <v>17589.53</v>
      </c>
      <c r="E13" s="9" t="n">
        <v>0</v>
      </c>
      <c r="F13" s="10" t="n">
        <v>0</v>
      </c>
      <c r="G13" s="9" t="n">
        <v>150</v>
      </c>
      <c r="H13" s="10" t="n">
        <v>17589.53</v>
      </c>
    </row>
    <row r="14">
      <c r="A14" s="12" t="n">
        <v>160</v>
      </c>
      <c r="B14" s="13" t="inlineStr">
        <is>
          <t>GUIA DE AGULHA SISTEMA SITE RITE 20G</t>
        </is>
      </c>
      <c r="C14" s="14" t="n">
        <v>140</v>
      </c>
      <c r="D14" s="15" t="n">
        <v>19885.43999999999</v>
      </c>
      <c r="E14" s="14" t="n">
        <v>0</v>
      </c>
      <c r="F14" s="15" t="n">
        <v>0</v>
      </c>
      <c r="G14" s="14" t="n">
        <v>140</v>
      </c>
      <c r="H14" s="15" t="n">
        <v>19885.43999999999</v>
      </c>
    </row>
    <row r="15">
      <c r="A15" s="11" t="n">
        <v>122</v>
      </c>
      <c r="B15" s="8" t="inlineStr">
        <is>
          <t>POWER PICC 5FR  MONO LUMEN</t>
        </is>
      </c>
      <c r="C15" s="9" t="n">
        <v>91</v>
      </c>
      <c r="D15" s="10" t="n">
        <v>98448.57000000001</v>
      </c>
      <c r="E15" s="9" t="n">
        <v>0</v>
      </c>
      <c r="F15" s="10" t="n">
        <v>0</v>
      </c>
      <c r="G15" s="9" t="n">
        <v>91</v>
      </c>
      <c r="H15" s="10" t="n">
        <v>98448.57000000001</v>
      </c>
    </row>
    <row r="16">
      <c r="A16" s="12" t="n">
        <v>631</v>
      </c>
      <c r="B16" s="13" t="inlineStr">
        <is>
          <t>POWER PICC SOLO MONO LUMEN 4FR</t>
        </is>
      </c>
      <c r="C16" s="14" t="n">
        <v>69</v>
      </c>
      <c r="D16" s="15" t="n">
        <v>77069.47</v>
      </c>
      <c r="E16" s="14" t="n">
        <v>0</v>
      </c>
      <c r="F16" s="15" t="n">
        <v>0</v>
      </c>
      <c r="G16" s="14" t="n">
        <v>69</v>
      </c>
      <c r="H16" s="15" t="n">
        <v>77069.47</v>
      </c>
    </row>
    <row r="17">
      <c r="A17" s="11" t="n">
        <v>168</v>
      </c>
      <c r="B17" s="8" t="inlineStr">
        <is>
          <t>POWER PICC SOLO DUPLO LUMEN 5FR</t>
        </is>
      </c>
      <c r="C17" s="9" t="n">
        <v>45</v>
      </c>
      <c r="D17" s="10" t="n">
        <v>51044.79</v>
      </c>
      <c r="E17" s="9" t="n">
        <v>0</v>
      </c>
      <c r="F17" s="10" t="n">
        <v>0</v>
      </c>
      <c r="G17" s="9" t="n">
        <v>45</v>
      </c>
      <c r="H17" s="10" t="n">
        <v>51044.79</v>
      </c>
    </row>
    <row r="18">
      <c r="A18" s="12" t="n">
        <v>639</v>
      </c>
      <c r="B18" s="13" t="inlineStr">
        <is>
          <t>POWER PICC SMALL VEINS TLS 3FR MONO LUMEN</t>
        </is>
      </c>
      <c r="C18" s="14" t="n">
        <v>21</v>
      </c>
      <c r="D18" s="15" t="n">
        <v>36743.62</v>
      </c>
      <c r="E18" s="14" t="n">
        <v>0</v>
      </c>
      <c r="F18" s="15" t="n">
        <v>0</v>
      </c>
      <c r="G18" s="14" t="n">
        <v>21</v>
      </c>
      <c r="H18" s="15" t="n">
        <v>36743.62</v>
      </c>
    </row>
    <row r="19">
      <c r="A19" s="11" t="n">
        <v>135</v>
      </c>
      <c r="B19" s="8" t="inlineStr">
        <is>
          <t>POWER PICC 3CG 3 LUMEN 5 FR</t>
        </is>
      </c>
      <c r="C19" s="9" t="n">
        <v>19</v>
      </c>
      <c r="D19" s="10" t="n">
        <v>33415.89</v>
      </c>
      <c r="E19" s="9" t="n">
        <v>5</v>
      </c>
      <c r="F19" s="10" t="n">
        <v>8723</v>
      </c>
      <c r="G19" s="9" t="n">
        <v>14</v>
      </c>
      <c r="H19" s="10" t="n">
        <v>24692.89</v>
      </c>
    </row>
    <row r="20">
      <c r="A20" s="12" t="n">
        <v>124</v>
      </c>
      <c r="B20" s="13" t="inlineStr">
        <is>
          <t>INTRODUTOR 1.9 FR 26G</t>
        </is>
      </c>
      <c r="C20" s="14" t="n">
        <v>10</v>
      </c>
      <c r="D20" s="15" t="n">
        <v>1156.62</v>
      </c>
      <c r="E20" s="14" t="n">
        <v>0</v>
      </c>
      <c r="F20" s="15" t="n">
        <v>0</v>
      </c>
      <c r="G20" s="14" t="n">
        <v>10</v>
      </c>
      <c r="H20" s="15" t="n">
        <v>1156.62</v>
      </c>
    </row>
    <row r="21">
      <c r="A21" s="11" t="n">
        <v>688</v>
      </c>
      <c r="B21" s="8" t="inlineStr">
        <is>
          <t>POWER PICC 4FR  MONO LUMEN</t>
        </is>
      </c>
      <c r="C21" s="9" t="n">
        <v>8</v>
      </c>
      <c r="D21" s="10" t="n">
        <v>8451</v>
      </c>
      <c r="E21" s="9" t="n">
        <v>0</v>
      </c>
      <c r="F21" s="10" t="n">
        <v>0</v>
      </c>
      <c r="G21" s="9" t="n">
        <v>8</v>
      </c>
      <c r="H21" s="10" t="n">
        <v>8451</v>
      </c>
    </row>
    <row r="22">
      <c r="A22" s="12" t="n">
        <v>665</v>
      </c>
      <c r="B22" s="13" t="inlineStr">
        <is>
          <t>POWER GLIDE PRO MIDLINE 20G X 10CM</t>
        </is>
      </c>
      <c r="C22" s="14" t="n">
        <v>6</v>
      </c>
      <c r="D22" s="15" t="n">
        <v>3576</v>
      </c>
      <c r="E22" s="14" t="n">
        <v>0</v>
      </c>
      <c r="F22" s="15" t="n">
        <v>0</v>
      </c>
      <c r="G22" s="14" t="n">
        <v>6</v>
      </c>
      <c r="H22" s="15" t="n">
        <v>3576</v>
      </c>
    </row>
    <row r="23">
      <c r="A23" s="11" t="n">
        <v>572</v>
      </c>
      <c r="B23" s="8" t="inlineStr">
        <is>
          <t>POWER PICC SMALL VEINS TLS 4FR DUPLO LUMEN</t>
        </is>
      </c>
      <c r="C23" s="9" t="n">
        <v>5</v>
      </c>
      <c r="D23" s="10" t="n">
        <v>7970.76</v>
      </c>
      <c r="E23" s="9" t="n">
        <v>0</v>
      </c>
      <c r="F23" s="10" t="n">
        <v>0</v>
      </c>
      <c r="G23" s="9" t="n">
        <v>5</v>
      </c>
      <c r="H23" s="10" t="n">
        <v>7970.76</v>
      </c>
    </row>
    <row r="24">
      <c r="A24" s="12" t="n">
        <v>133</v>
      </c>
      <c r="B24" s="13" t="inlineStr">
        <is>
          <t>POWER PICC 3CG  1LUMEN 5 FR</t>
        </is>
      </c>
      <c r="C24" s="14" t="n">
        <v>3</v>
      </c>
      <c r="D24" s="15" t="n">
        <v>5502.29</v>
      </c>
      <c r="E24" s="14" t="n">
        <v>0</v>
      </c>
      <c r="F24" s="15" t="n">
        <v>0</v>
      </c>
      <c r="G24" s="14" t="n">
        <v>3</v>
      </c>
      <c r="H24" s="15" t="n">
        <v>5502.29</v>
      </c>
    </row>
    <row r="25">
      <c r="A25" s="11" t="n">
        <v>171</v>
      </c>
      <c r="B25" s="8" t="inlineStr">
        <is>
          <t>KIT SISTEMA DE ULTRASSOM SITE RITE 8</t>
        </is>
      </c>
      <c r="C25" s="9" t="n">
        <v>0</v>
      </c>
      <c r="D25" s="10" t="n">
        <v>0</v>
      </c>
      <c r="E25" s="9" t="n">
        <v>0</v>
      </c>
      <c r="F25" s="10" t="n">
        <v>0</v>
      </c>
      <c r="G25" s="9" t="n">
        <v>0</v>
      </c>
      <c r="H25" s="10" t="n">
        <v>0</v>
      </c>
    </row>
    <row r="26">
      <c r="A26" s="12" t="n">
        <v>169</v>
      </c>
      <c r="B26" s="13" t="inlineStr">
        <is>
          <t>SISTEMA DE CONFIRMACAO DE PONTA SHERLOCK 3CG</t>
        </is>
      </c>
      <c r="C26" s="14" t="n">
        <v>0</v>
      </c>
      <c r="D26" s="15" t="n">
        <v>0</v>
      </c>
      <c r="E26" s="14" t="n">
        <v>0</v>
      </c>
      <c r="F26" s="15" t="n">
        <v>0</v>
      </c>
      <c r="G26" s="14" t="n">
        <v>0</v>
      </c>
      <c r="H26" s="15" t="n">
        <v>0</v>
      </c>
    </row>
    <row r="27">
      <c r="A27" s="11" t="n">
        <v>653</v>
      </c>
      <c r="B27" s="8" t="inlineStr">
        <is>
          <t>AGULHA DE HUBER MAX POWER 20G X 1''</t>
        </is>
      </c>
      <c r="C27" s="9" t="n">
        <v>0</v>
      </c>
      <c r="D27" s="10" t="n">
        <v>0</v>
      </c>
      <c r="E27" s="9" t="n">
        <v>0</v>
      </c>
      <c r="F27" s="10" t="n">
        <v>0</v>
      </c>
      <c r="G27" s="9" t="n">
        <v>0</v>
      </c>
      <c r="H27" s="10" t="n">
        <v>0</v>
      </c>
    </row>
    <row r="28">
      <c r="A28" s="12" t="n">
        <v>652</v>
      </c>
      <c r="B28" s="13" t="inlineStr">
        <is>
          <t>AGULHA DE HUBER MAX POWER 20G X 0,75''</t>
        </is>
      </c>
      <c r="C28" s="14" t="n">
        <v>0</v>
      </c>
      <c r="D28" s="15" t="n">
        <v>0</v>
      </c>
      <c r="E28" s="14" t="n">
        <v>0</v>
      </c>
      <c r="F28" s="15" t="n">
        <v>0</v>
      </c>
      <c r="G28" s="14" t="n">
        <v>0</v>
      </c>
      <c r="H28" s="15" t="n">
        <v>0</v>
      </c>
    </row>
    <row r="29">
      <c r="A29" s="11" t="n">
        <v>161</v>
      </c>
      <c r="B29" s="8" t="inlineStr">
        <is>
          <t>SISTEMA ULTRASSOM SITE RITE 5  C/CARRO</t>
        </is>
      </c>
      <c r="C29" s="9" t="n">
        <v>0</v>
      </c>
      <c r="D29" s="10" t="n">
        <v>0</v>
      </c>
      <c r="E29" s="9" t="n">
        <v>0</v>
      </c>
      <c r="F29" s="10" t="n">
        <v>0</v>
      </c>
      <c r="G29" s="9" t="n">
        <v>0</v>
      </c>
      <c r="H29" s="10" t="n">
        <v>0</v>
      </c>
    </row>
    <row r="30">
      <c r="A30" s="12" t="n">
        <v>733</v>
      </c>
      <c r="B30" s="13" t="inlineStr">
        <is>
          <t>CATETER POWERGLIDE PRO MIDLINE 22G 8CM</t>
        </is>
      </c>
      <c r="C30" s="14" t="n">
        <v>0</v>
      </c>
      <c r="D30" s="15" t="n">
        <v>0</v>
      </c>
      <c r="E30" s="14" t="n">
        <v>0</v>
      </c>
      <c r="F30" s="15" t="n">
        <v>0</v>
      </c>
      <c r="G30" s="14" t="n">
        <v>0</v>
      </c>
      <c r="H30" s="15" t="n">
        <v>0</v>
      </c>
    </row>
    <row r="31">
      <c r="A31" s="11" t="n">
        <v>802</v>
      </c>
      <c r="B31" s="8" t="inlineStr">
        <is>
          <t>SONDA P/ ULTRASSOM MOD SR8 32MM</t>
        </is>
      </c>
      <c r="C31" s="9" t="n">
        <v>0</v>
      </c>
      <c r="D31" s="10" t="n">
        <v>0</v>
      </c>
      <c r="E31" s="9" t="n">
        <v>0</v>
      </c>
      <c r="F31" s="10" t="n">
        <v>0</v>
      </c>
      <c r="G31" s="9" t="n">
        <v>0</v>
      </c>
      <c r="H31" s="10" t="n">
        <v>0</v>
      </c>
    </row>
    <row r="32">
      <c r="A32" s="12" t="n">
        <v>170</v>
      </c>
      <c r="B32" s="13" t="inlineStr">
        <is>
          <t>ULTRASSOM PORTATIL IPREVUE</t>
        </is>
      </c>
      <c r="C32" s="14" t="n">
        <v>0</v>
      </c>
      <c r="D32" s="15" t="n">
        <v>0</v>
      </c>
      <c r="E32" s="14" t="n">
        <v>0</v>
      </c>
      <c r="F32" s="15" t="n">
        <v>0</v>
      </c>
      <c r="G32" s="14" t="n">
        <v>0</v>
      </c>
      <c r="H32" s="15" t="n">
        <v>0</v>
      </c>
    </row>
    <row r="33">
      <c r="A33" s="11" t="n">
        <v>642</v>
      </c>
      <c r="B33" s="8" t="inlineStr">
        <is>
          <t>POWER GLIDE PRO MIDLINE 18G X 10CM</t>
        </is>
      </c>
      <c r="C33" s="9" t="n">
        <v>0</v>
      </c>
      <c r="D33" s="10" t="n">
        <v>0</v>
      </c>
      <c r="E33" s="9" t="n">
        <v>0</v>
      </c>
      <c r="F33" s="10" t="n">
        <v>0</v>
      </c>
      <c r="G33" s="9" t="n">
        <v>0</v>
      </c>
      <c r="H33" s="10" t="n">
        <v>0</v>
      </c>
    </row>
    <row r="34">
      <c r="A34" s="12" t="n">
        <v>1128</v>
      </c>
      <c r="B34" s="13" t="inlineStr">
        <is>
          <t>SUPORTE ROLANTE PARA ULTRASSOM SISTEMA SITE RITE 8 MOD DESIMEC</t>
        </is>
      </c>
      <c r="C34" s="14" t="n">
        <v>0</v>
      </c>
      <c r="D34" s="15" t="n">
        <v>0</v>
      </c>
      <c r="E34" s="14" t="n">
        <v>0</v>
      </c>
      <c r="F34" s="15" t="n">
        <v>0</v>
      </c>
      <c r="G34" s="14" t="n">
        <v>0</v>
      </c>
      <c r="H34" s="15" t="n">
        <v>0</v>
      </c>
    </row>
    <row r="35">
      <c r="A35" s="11" t="n">
        <v>971</v>
      </c>
      <c r="B35" s="8" t="inlineStr">
        <is>
          <t>SONDA P/ ULTRASSOM MOD SR8 CUE</t>
        </is>
      </c>
      <c r="C35" s="9" t="n">
        <v>0</v>
      </c>
      <c r="D35" s="10" t="n">
        <v>0</v>
      </c>
      <c r="E35" s="9" t="n">
        <v>0</v>
      </c>
      <c r="F35" s="10" t="n">
        <v>0</v>
      </c>
      <c r="G35" s="9" t="n">
        <v>0</v>
      </c>
      <c r="H35" s="10" t="n">
        <v>0</v>
      </c>
    </row>
    <row r="36">
      <c r="A36" s="12" t="n">
        <v>575</v>
      </c>
      <c r="B36" s="13" t="inlineStr">
        <is>
          <t>SUPORTE ROLANTE - SISTEMA DE ULTRASSOM SITE RITE 5</t>
        </is>
      </c>
      <c r="C36" s="14" t="n">
        <v>0</v>
      </c>
      <c r="D36" s="15" t="n">
        <v>0</v>
      </c>
      <c r="E36" s="14" t="n">
        <v>0</v>
      </c>
      <c r="F36" s="15" t="n">
        <v>0</v>
      </c>
      <c r="G36" s="14" t="n">
        <v>0</v>
      </c>
      <c r="H36" s="15" t="n">
        <v>0</v>
      </c>
    </row>
    <row r="37">
      <c r="A37" s="11" t="n">
        <v>972</v>
      </c>
      <c r="B37" s="8" t="inlineStr">
        <is>
          <t>SISTEMA DE CONFIRMACAO DE PONTA SHERLOCK SMALL</t>
        </is>
      </c>
      <c r="C37" s="9" t="n">
        <v>0</v>
      </c>
      <c r="D37" s="10" t="n">
        <v>0</v>
      </c>
      <c r="E37" s="9" t="n">
        <v>0</v>
      </c>
      <c r="F37" s="10" t="n">
        <v>0</v>
      </c>
      <c r="G37" s="9" t="n">
        <v>0</v>
      </c>
      <c r="H37" s="10" t="n">
        <v>0</v>
      </c>
    </row>
    <row r="38">
      <c r="A38" s="12" t="n">
        <v>162</v>
      </c>
      <c r="B38" s="13" t="inlineStr">
        <is>
          <t>SUPORTE ROLANTE PARA ULTRASSOM SISTEMA SITE RITE 8</t>
        </is>
      </c>
      <c r="C38" s="14" t="n">
        <v>0</v>
      </c>
      <c r="D38" s="15" t="n">
        <v>0</v>
      </c>
      <c r="E38" s="14" t="n">
        <v>0</v>
      </c>
      <c r="F38" s="15" t="n">
        <v>0</v>
      </c>
      <c r="G38" s="14" t="n">
        <v>0</v>
      </c>
      <c r="H38" s="15" t="n">
        <v>0</v>
      </c>
    </row>
    <row r="39">
      <c r="A39" s="16" t="n"/>
      <c r="B39" s="17" t="inlineStr">
        <is>
          <t>TOTAL GERAL</t>
        </is>
      </c>
      <c r="C39" s="18">
        <f>SUM(C5:C38)</f>
        <v/>
      </c>
      <c r="D39" s="19">
        <f>SUM(D5:D38)</f>
        <v/>
      </c>
      <c r="E39" s="18">
        <f>SUM(E5:E38)</f>
        <v/>
      </c>
      <c r="F39" s="19">
        <f>SUM(F5:F38)</f>
        <v/>
      </c>
      <c r="G39" s="18">
        <f>SUM(G5:G38)</f>
        <v/>
      </c>
      <c r="H39" s="19">
        <f>SUM(H5:H38)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1" workbookViewId="0">
      <selection activeCell="A1" sqref="A1"/>
    </sheetView>
  </sheetViews>
  <sheetFormatPr baseColWidth="8" defaultRowHeight="15"/>
  <cols>
    <col width="64" customWidth="1" min="1" max="1"/>
    <col width="12" customWidth="1" min="2" max="2"/>
    <col width="43" customWidth="1" min="3" max="3"/>
    <col width="19" customWidth="1" min="4" max="4"/>
    <col width="13" customWidth="1" min="5" max="5"/>
    <col width="13" customWidth="1" min="6" max="6"/>
    <col width="25" customWidth="1" min="7" max="7"/>
  </cols>
  <sheetData>
    <row r="1">
      <c r="A1" s="1" t="inlineStr">
        <is>
          <t>OPERAÇÕES FISCAIS (TOPS) — MARCA BD AAD</t>
        </is>
      </c>
    </row>
    <row r="2">
      <c r="A2" s="2" t="inlineStr">
        <is>
          <t>Todas as movimentações de saída ('V') e devolução ('D' e 'E')</t>
        </is>
      </c>
    </row>
    <row r="3"/>
    <row r="4">
      <c r="A4" s="20" t="inlineStr">
        <is>
          <t>Tipo Mov.</t>
        </is>
      </c>
      <c r="B4" s="20" t="inlineStr">
        <is>
          <t>Cód. TOP</t>
        </is>
      </c>
      <c r="C4" s="21" t="inlineStr">
        <is>
          <t>Descrição da Operação</t>
        </is>
      </c>
      <c r="D4" s="20" t="inlineStr">
        <is>
          <t>Gera Financeiro?</t>
        </is>
      </c>
      <c r="E4" s="20" t="inlineStr">
        <is>
          <t>Qtd. Notas</t>
        </is>
      </c>
      <c r="F4" s="21" t="inlineStr">
        <is>
          <t>Qtd. Itens</t>
        </is>
      </c>
      <c r="G4" s="21" t="inlineStr">
        <is>
          <t>Valor Total (R$)</t>
        </is>
      </c>
    </row>
    <row r="5">
      <c r="A5" s="11" t="inlineStr">
        <is>
          <t>V</t>
        </is>
      </c>
      <c r="B5" s="11" t="n">
        <v>1100</v>
      </c>
      <c r="C5" s="8" t="inlineStr">
        <is>
          <t>VENDA - NFE</t>
        </is>
      </c>
      <c r="D5" s="11" t="inlineStr">
        <is>
          <t>Sim (+1)</t>
        </is>
      </c>
      <c r="E5" s="9" t="n">
        <v>485</v>
      </c>
      <c r="F5" s="9" t="n">
        <v>19398</v>
      </c>
      <c r="G5" s="10" t="n">
        <v>4522948.479999999</v>
      </c>
    </row>
    <row r="6">
      <c r="A6" s="12" t="inlineStr">
        <is>
          <t>V</t>
        </is>
      </c>
      <c r="B6" s="12" t="n">
        <v>1107</v>
      </c>
      <c r="C6" s="13" t="inlineStr">
        <is>
          <t>VENDA SIMPLES REMESSA (CONSIGNADO)</t>
        </is>
      </c>
      <c r="D6" s="12" t="inlineStr">
        <is>
          <t>Sim (+1)</t>
        </is>
      </c>
      <c r="E6" s="14" t="n">
        <v>1029</v>
      </c>
      <c r="F6" s="14" t="n">
        <v>2647</v>
      </c>
      <c r="G6" s="15" t="n">
        <v>1274973.52</v>
      </c>
    </row>
    <row r="7">
      <c r="A7" s="11" t="inlineStr">
        <is>
          <t>V</t>
        </is>
      </c>
      <c r="B7" s="11" t="n">
        <v>1106</v>
      </c>
      <c r="C7" s="8" t="inlineStr">
        <is>
          <t>SIMPLES REMESSA (CONSIGNADO)</t>
        </is>
      </c>
      <c r="D7" s="11" t="inlineStr">
        <is>
          <t>Não (0)</t>
        </is>
      </c>
      <c r="E7" s="9" t="n">
        <v>224</v>
      </c>
      <c r="F7" s="9" t="n">
        <v>2732</v>
      </c>
      <c r="G7" s="10" t="n">
        <v>1704284.650000001</v>
      </c>
    </row>
    <row r="8">
      <c r="A8" s="12" t="inlineStr">
        <is>
          <t>V</t>
        </is>
      </c>
      <c r="B8" s="12" t="n">
        <v>1121</v>
      </c>
      <c r="C8" s="13" t="inlineStr">
        <is>
          <t>SAIDA DESCARTE</t>
        </is>
      </c>
      <c r="D8" s="12" t="inlineStr">
        <is>
          <t>Não (0)</t>
        </is>
      </c>
      <c r="E8" s="14" t="n">
        <v>6</v>
      </c>
      <c r="F8" s="14" t="n">
        <v>116</v>
      </c>
      <c r="G8" s="15" t="n">
        <v>4158.13</v>
      </c>
    </row>
    <row r="9">
      <c r="A9" s="11" t="inlineStr">
        <is>
          <t>V</t>
        </is>
      </c>
      <c r="B9" s="11" t="n">
        <v>1119</v>
      </c>
      <c r="C9" s="8" t="inlineStr">
        <is>
          <t>SAIDA - REMESSA PARA COMODATO</t>
        </is>
      </c>
      <c r="D9" s="11" t="inlineStr">
        <is>
          <t>Não (0)</t>
        </is>
      </c>
      <c r="E9" s="9" t="n">
        <v>42</v>
      </c>
      <c r="F9" s="9" t="n">
        <v>86</v>
      </c>
      <c r="G9" s="10" t="n">
        <v>2528838.090000001</v>
      </c>
    </row>
    <row r="10">
      <c r="A10" s="12" t="inlineStr">
        <is>
          <t>V</t>
        </is>
      </c>
      <c r="B10" s="12" t="n">
        <v>1117</v>
      </c>
      <c r="C10" s="13" t="inlineStr">
        <is>
          <t>SAIDA - BONIFICAÇÃO</t>
        </is>
      </c>
      <c r="D10" s="12" t="inlineStr">
        <is>
          <t>Não (0)</t>
        </is>
      </c>
      <c r="E10" s="14" t="n">
        <v>10</v>
      </c>
      <c r="F10" s="14" t="n">
        <v>74</v>
      </c>
      <c r="G10" s="15" t="n">
        <v>9168.17</v>
      </c>
    </row>
    <row r="11">
      <c r="A11" s="11" t="inlineStr">
        <is>
          <t>V</t>
        </is>
      </c>
      <c r="B11" s="11" t="n">
        <v>1118</v>
      </c>
      <c r="C11" s="8" t="inlineStr">
        <is>
          <t>SAIDA - REMESSA PARA ANALISE</t>
        </is>
      </c>
      <c r="D11" s="11" t="inlineStr">
        <is>
          <t>Não (0)</t>
        </is>
      </c>
      <c r="E11" s="9" t="n">
        <v>2</v>
      </c>
      <c r="F11" s="9" t="n">
        <v>2</v>
      </c>
      <c r="G11" s="10" t="n">
        <v>1087.46</v>
      </c>
    </row>
    <row r="12">
      <c r="A12" s="12" t="inlineStr">
        <is>
          <t>V</t>
        </is>
      </c>
      <c r="B12" s="12" t="n">
        <v>1122</v>
      </c>
      <c r="C12" s="13" t="inlineStr">
        <is>
          <t>SAIDA - CONSERTO</t>
        </is>
      </c>
      <c r="D12" s="12" t="inlineStr">
        <is>
          <t>Não (0)</t>
        </is>
      </c>
      <c r="E12" s="14" t="n">
        <v>1</v>
      </c>
      <c r="F12" s="14" t="n">
        <v>2</v>
      </c>
      <c r="G12" s="15" t="n">
        <v>79034.78</v>
      </c>
    </row>
    <row r="13">
      <c r="A13" s="11" t="inlineStr">
        <is>
          <t>V</t>
        </is>
      </c>
      <c r="B13" s="11" t="n">
        <v>1131</v>
      </c>
      <c r="C13" s="8" t="inlineStr">
        <is>
          <t>SAIDA - CANCELAMENTO OPERACAO</t>
        </is>
      </c>
      <c r="D13" s="11" t="inlineStr">
        <is>
          <t>Não (0)</t>
        </is>
      </c>
      <c r="E13" s="9" t="n">
        <v>2</v>
      </c>
      <c r="F13" s="9" t="n">
        <v>2</v>
      </c>
      <c r="G13" s="10" t="n">
        <v>1245.5</v>
      </c>
    </row>
    <row r="14">
      <c r="A14" s="12" t="inlineStr">
        <is>
          <t>V</t>
        </is>
      </c>
      <c r="B14" s="12" t="n">
        <v>1104</v>
      </c>
      <c r="C14" s="13" t="inlineStr">
        <is>
          <t>SAIDA -  AMOSTRA GRATIS</t>
        </is>
      </c>
      <c r="D14" s="12" t="inlineStr">
        <is>
          <t>Não (0)</t>
        </is>
      </c>
      <c r="E14" s="14" t="n">
        <v>1</v>
      </c>
      <c r="F14" s="14" t="n">
        <v>1</v>
      </c>
      <c r="G14" s="15" t="n">
        <v>155043</v>
      </c>
    </row>
    <row r="15">
      <c r="A15" s="11" t="inlineStr">
        <is>
          <t>E</t>
        </is>
      </c>
      <c r="B15" s="11" t="n">
        <v>300</v>
      </c>
      <c r="C15" s="8" t="inlineStr">
        <is>
          <t>DEVOLUÇÃO DE COMPRA - REVENDA</t>
        </is>
      </c>
      <c r="D15" s="11" t="inlineStr">
        <is>
          <t>Sim (+1)</t>
        </is>
      </c>
      <c r="E15" s="9" t="n">
        <v>7</v>
      </c>
      <c r="F15" s="9" t="n">
        <v>126</v>
      </c>
      <c r="G15" s="10" t="n">
        <v>58927.06</v>
      </c>
    </row>
    <row r="16">
      <c r="A16" s="12" t="inlineStr">
        <is>
          <t>E</t>
        </is>
      </c>
      <c r="B16" s="12" t="n">
        <v>301</v>
      </c>
      <c r="C16" s="13" t="inlineStr">
        <is>
          <t>DEVOLUÇÃO DE COMPRA - CONSUMO</t>
        </is>
      </c>
      <c r="D16" s="12" t="inlineStr">
        <is>
          <t>Sim (+1)</t>
        </is>
      </c>
      <c r="E16" s="14" t="n">
        <v>2</v>
      </c>
      <c r="F16" s="14" t="n">
        <v>3</v>
      </c>
      <c r="G16" s="15" t="n">
        <v>68717.17</v>
      </c>
    </row>
    <row r="17">
      <c r="A17" s="11" t="inlineStr">
        <is>
          <t>E</t>
        </is>
      </c>
      <c r="B17" s="11" t="n">
        <v>308</v>
      </c>
      <c r="C17" s="8" t="inlineStr">
        <is>
          <t>SAIDA - TROCA</t>
        </is>
      </c>
      <c r="D17" s="11" t="inlineStr">
        <is>
          <t>Não (0)</t>
        </is>
      </c>
      <c r="E17" s="9" t="n">
        <v>9</v>
      </c>
      <c r="F17" s="9" t="n">
        <v>193</v>
      </c>
      <c r="G17" s="10" t="n">
        <v>118821.92</v>
      </c>
    </row>
    <row r="18">
      <c r="A18" s="12" t="inlineStr">
        <is>
          <t>E</t>
        </is>
      </c>
      <c r="B18" s="12" t="n">
        <v>302</v>
      </c>
      <c r="C18" s="13" t="inlineStr">
        <is>
          <t>RETORNO DE COMODATO</t>
        </is>
      </c>
      <c r="D18" s="12" t="inlineStr">
        <is>
          <t>Não (0)</t>
        </is>
      </c>
      <c r="E18" s="14" t="n">
        <v>2</v>
      </c>
      <c r="F18" s="14" t="n">
        <v>2</v>
      </c>
      <c r="G18" s="15" t="n">
        <v>71428.17</v>
      </c>
    </row>
    <row r="19">
      <c r="A19" s="11" t="inlineStr">
        <is>
          <t>E</t>
        </is>
      </c>
      <c r="B19" s="11" t="n">
        <v>307</v>
      </c>
      <c r="C19" s="8" t="inlineStr">
        <is>
          <t>OUTRAS SAÍDAS - RETORNO (EST E P. DE 3)</t>
        </is>
      </c>
      <c r="D19" s="11" t="inlineStr">
        <is>
          <t>Não (0)</t>
        </is>
      </c>
      <c r="E19" s="9" t="n">
        <v>1</v>
      </c>
      <c r="F19" s="9" t="n">
        <v>1</v>
      </c>
      <c r="G19" s="10" t="n">
        <v>63347.41</v>
      </c>
    </row>
    <row r="20">
      <c r="A20" s="12" t="inlineStr">
        <is>
          <t>D</t>
        </is>
      </c>
      <c r="B20" s="12" t="n">
        <v>1209</v>
      </c>
      <c r="C20" s="13" t="inlineStr">
        <is>
          <t>RETORNO DE REMESSA (DEVOLUÇÃO SIMBOLICA)</t>
        </is>
      </c>
      <c r="D20" s="12" t="inlineStr">
        <is>
          <t>Não (0)</t>
        </is>
      </c>
      <c r="E20" s="14" t="n">
        <v>1013</v>
      </c>
      <c r="F20" s="14" t="n">
        <v>2616</v>
      </c>
      <c r="G20" s="15" t="n">
        <v>1591043.759999999</v>
      </c>
    </row>
    <row r="21">
      <c r="A21" s="11" t="inlineStr">
        <is>
          <t>D</t>
        </is>
      </c>
      <c r="B21" s="11" t="n">
        <v>1205</v>
      </c>
      <c r="C21" s="8" t="inlineStr">
        <is>
          <t>RETORNO DE REMESSA (DEVOLUÇÃO FISICA)</t>
        </is>
      </c>
      <c r="D21" s="11" t="inlineStr">
        <is>
          <t>Não (0)</t>
        </is>
      </c>
      <c r="E21" s="9" t="n">
        <v>35</v>
      </c>
      <c r="F21" s="9" t="n">
        <v>113</v>
      </c>
      <c r="G21" s="10" t="n">
        <v>69593.06</v>
      </c>
    </row>
    <row r="22">
      <c r="A22" s="12" t="inlineStr">
        <is>
          <t>D</t>
        </is>
      </c>
      <c r="B22" s="12" t="n">
        <v>1203</v>
      </c>
      <c r="C22" s="13" t="inlineStr">
        <is>
          <t>RETORNO DE BEM REMETIDO POR CONTA DE CON</t>
        </is>
      </c>
      <c r="D22" s="12" t="inlineStr">
        <is>
          <t>Não (0)</t>
        </is>
      </c>
      <c r="E22" s="14" t="n">
        <v>45</v>
      </c>
      <c r="F22" s="14" t="n">
        <v>80</v>
      </c>
      <c r="G22" s="15" t="n">
        <v>2374324.02</v>
      </c>
    </row>
    <row r="23">
      <c r="A23" s="11" t="inlineStr">
        <is>
          <t>D</t>
        </is>
      </c>
      <c r="B23" s="11" t="n">
        <v>1206</v>
      </c>
      <c r="C23" s="8" t="inlineStr">
        <is>
          <t>DEVOLUÇÃO DE VENDA - BONIFICAÇÃO</t>
        </is>
      </c>
      <c r="D23" s="11" t="inlineStr">
        <is>
          <t>Não (0)</t>
        </is>
      </c>
      <c r="E23" s="9" t="n">
        <v>4</v>
      </c>
      <c r="F23" s="9" t="n">
        <v>10</v>
      </c>
      <c r="G23" s="10" t="n">
        <v>156784.4</v>
      </c>
    </row>
    <row r="24">
      <c r="A24" s="12" t="inlineStr">
        <is>
          <t>D</t>
        </is>
      </c>
      <c r="B24" s="12" t="n">
        <v>1210</v>
      </c>
      <c r="C24" s="13" t="inlineStr">
        <is>
          <t>RETORNO DE CONSERTO - NF PROPRIA</t>
        </is>
      </c>
      <c r="D24" s="12" t="inlineStr">
        <is>
          <t>Não (0)</t>
        </is>
      </c>
      <c r="E24" s="14" t="n">
        <v>1</v>
      </c>
      <c r="F24" s="14" t="n">
        <v>2</v>
      </c>
      <c r="G24" s="15" t="n">
        <v>79034.78</v>
      </c>
    </row>
    <row r="25">
      <c r="A25" s="11" t="inlineStr">
        <is>
          <t>D</t>
        </is>
      </c>
      <c r="B25" s="11" t="n">
        <v>1200</v>
      </c>
      <c r="C25" s="8" t="inlineStr">
        <is>
          <t>DEVOLUÇÃO DE VENDA - NF PRÓPRIA</t>
        </is>
      </c>
      <c r="D25" s="11" t="inlineStr">
        <is>
          <t>Sim (-1)</t>
        </is>
      </c>
      <c r="E25" s="9" t="n">
        <v>42</v>
      </c>
      <c r="F25" s="9" t="n">
        <v>158</v>
      </c>
      <c r="G25" s="10" t="n">
        <v>111332.12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2026-10-07T12:42:49Z</dcterms:created>
  <dcterms:modified xmlns:dcterms="http://purl.org/dc/terms/" xmlns:xsi="http://www.w3.org/2001/XMLSchema-instance" xsi:type="dcterms:W3CDTF">2026-10-07T12:42:49Z</dcterms:modified>
</cp:coreProperties>
</file>